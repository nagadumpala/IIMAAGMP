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autoCompressPictures="0"/>
  <bookViews>
    <workbookView xWindow="0" yWindow="0" windowWidth="18140" windowHeight="7900" activeTab="1"/>
  </bookViews>
  <sheets>
    <sheet name="Instructions" sheetId="10" r:id="rId1"/>
    <sheet name="Predictions" sheetId="1" r:id="rId2"/>
    <sheet name="Past Sales Data" sheetId="2" r:id="rId3"/>
    <sheet name="Supplier Details" sheetId="3" r:id="rId4"/>
    <sheet name="Quarter 1" sheetId="5" r:id="rId5"/>
    <sheet name="Quarter 2" sheetId="6" r:id="rId6"/>
    <sheet name="Quarter 3" sheetId="7" r:id="rId7"/>
    <sheet name="Quarter 4" sheetId="8" r:id="rId8"/>
    <sheet name="Final Report" sheetId="9" r:id="rId9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8" l="1"/>
  <c r="D9" i="8"/>
  <c r="E9" i="8"/>
  <c r="F9" i="8"/>
  <c r="G9" i="8"/>
  <c r="H9" i="8"/>
  <c r="I9" i="8"/>
  <c r="J9" i="8"/>
  <c r="K9" i="8"/>
  <c r="L9" i="8"/>
  <c r="M9" i="8"/>
  <c r="M8" i="8"/>
  <c r="L8" i="8"/>
  <c r="K8" i="8"/>
  <c r="J8" i="8"/>
  <c r="I8" i="8"/>
  <c r="H8" i="8"/>
  <c r="G8" i="8"/>
  <c r="F8" i="8"/>
  <c r="E8" i="8"/>
  <c r="D8" i="8"/>
  <c r="C8" i="8"/>
  <c r="B8" i="8"/>
  <c r="C9" i="7"/>
  <c r="D9" i="7"/>
  <c r="E9" i="7"/>
  <c r="F9" i="7"/>
  <c r="G9" i="7"/>
  <c r="H11" i="7"/>
  <c r="H7" i="7"/>
  <c r="H9" i="7"/>
  <c r="I11" i="7"/>
  <c r="I7" i="7"/>
  <c r="I9" i="7"/>
  <c r="J11" i="7"/>
  <c r="J7" i="7"/>
  <c r="J9" i="7"/>
  <c r="J8" i="7"/>
  <c r="I8" i="7"/>
  <c r="H8" i="7"/>
  <c r="G8" i="7"/>
  <c r="F8" i="7"/>
  <c r="E8" i="7"/>
  <c r="D8" i="7"/>
  <c r="C8" i="7"/>
  <c r="B8" i="7"/>
  <c r="C9" i="6"/>
  <c r="D9" i="6"/>
  <c r="E9" i="6"/>
  <c r="F9" i="6"/>
  <c r="G9" i="6"/>
  <c r="G8" i="6"/>
  <c r="F8" i="6"/>
  <c r="E8" i="6"/>
  <c r="D8" i="6"/>
  <c r="C8" i="6"/>
  <c r="B8" i="6"/>
  <c r="B4" i="6"/>
  <c r="D9" i="5"/>
  <c r="C9" i="5"/>
  <c r="D8" i="5"/>
  <c r="C8" i="5"/>
  <c r="B8" i="5"/>
  <c r="C17" i="1"/>
  <c r="C22" i="1"/>
  <c r="B22" i="1"/>
  <c r="C18" i="1"/>
  <c r="B17" i="1"/>
  <c r="B18" i="1"/>
  <c r="D17" i="1"/>
  <c r="E17" i="1"/>
  <c r="D16" i="1"/>
  <c r="E16" i="1"/>
  <c r="C12" i="1"/>
  <c r="C8" i="1"/>
  <c r="C9" i="1"/>
  <c r="C10" i="1"/>
  <c r="C11" i="1"/>
  <c r="B11" i="1"/>
  <c r="B11" i="9"/>
  <c r="B2" i="6"/>
  <c r="B2" i="7"/>
  <c r="B2" i="8"/>
  <c r="F2" i="9"/>
  <c r="C2" i="7"/>
  <c r="C2" i="8"/>
  <c r="G2" i="9"/>
  <c r="D2" i="8"/>
  <c r="H2" i="9"/>
  <c r="I2" i="9"/>
  <c r="J2" i="9"/>
  <c r="B3" i="6"/>
  <c r="B3" i="7"/>
  <c r="B3" i="8"/>
  <c r="F3" i="9"/>
  <c r="C3" i="7"/>
  <c r="C3" i="8"/>
  <c r="G3" i="9"/>
  <c r="H3" i="9"/>
  <c r="I3" i="9"/>
  <c r="J3" i="9"/>
  <c r="B4" i="7"/>
  <c r="B4" i="8"/>
  <c r="F4" i="9"/>
  <c r="C4" i="8"/>
  <c r="G4" i="9"/>
  <c r="H4" i="9"/>
  <c r="J4" i="9"/>
  <c r="C2" i="9"/>
  <c r="F9" i="9"/>
  <c r="G9" i="9"/>
  <c r="H9" i="9"/>
  <c r="I9" i="9"/>
  <c r="J9" i="9"/>
  <c r="K9" i="9"/>
  <c r="L9" i="9"/>
  <c r="M9" i="9"/>
  <c r="N9" i="9"/>
  <c r="O9" i="9"/>
  <c r="P9" i="9"/>
  <c r="Q9" i="9"/>
  <c r="B6" i="9"/>
  <c r="F10" i="9"/>
  <c r="G10" i="9"/>
  <c r="H10" i="9"/>
  <c r="I10" i="9"/>
  <c r="J10" i="9"/>
  <c r="K10" i="9"/>
  <c r="L10" i="9"/>
  <c r="M10" i="9"/>
  <c r="N10" i="9"/>
  <c r="O10" i="9"/>
  <c r="P10" i="9"/>
  <c r="Q10" i="9"/>
  <c r="B3" i="9"/>
  <c r="B7" i="8"/>
  <c r="F8" i="9"/>
  <c r="C7" i="8"/>
  <c r="G8" i="9"/>
  <c r="D7" i="8"/>
  <c r="H8" i="9"/>
  <c r="E7" i="8"/>
  <c r="I8" i="9"/>
  <c r="F7" i="8"/>
  <c r="J8" i="9"/>
  <c r="G7" i="8"/>
  <c r="K8" i="9"/>
  <c r="H7" i="8"/>
  <c r="L8" i="9"/>
  <c r="I7" i="8"/>
  <c r="M8" i="9"/>
  <c r="J7" i="8"/>
  <c r="N8" i="9"/>
  <c r="K10" i="8"/>
  <c r="K11" i="8"/>
  <c r="K7" i="8"/>
  <c r="O8" i="9"/>
  <c r="L10" i="8"/>
  <c r="L11" i="8"/>
  <c r="L7" i="8"/>
  <c r="P8" i="9"/>
  <c r="M10" i="8"/>
  <c r="M11" i="8"/>
  <c r="M7" i="8"/>
  <c r="Q8" i="9"/>
  <c r="B2" i="9"/>
  <c r="Q7" i="9"/>
  <c r="Q13" i="9"/>
  <c r="F7" i="9"/>
  <c r="G7" i="9"/>
  <c r="H7" i="9"/>
  <c r="I7" i="9"/>
  <c r="J7" i="9"/>
  <c r="K7" i="9"/>
  <c r="L7" i="9"/>
  <c r="M7" i="9"/>
  <c r="N7" i="9"/>
  <c r="O7" i="9"/>
  <c r="P7" i="9"/>
  <c r="H10" i="8"/>
  <c r="I10" i="8"/>
  <c r="J10" i="8"/>
  <c r="F13" i="9"/>
  <c r="G13" i="9"/>
  <c r="H13" i="9"/>
  <c r="I13" i="9"/>
  <c r="J13" i="9"/>
  <c r="K13" i="9"/>
  <c r="L13" i="9"/>
  <c r="M13" i="9"/>
  <c r="N13" i="9"/>
  <c r="O13" i="9"/>
  <c r="P13" i="9"/>
  <c r="E8" i="9"/>
  <c r="E9" i="9"/>
  <c r="E10" i="9"/>
  <c r="E13" i="9"/>
  <c r="E2" i="9"/>
  <c r="E3" i="9"/>
  <c r="E4" i="9"/>
  <c r="I4" i="9"/>
  <c r="I1" i="9"/>
  <c r="F1" i="9"/>
  <c r="G1" i="9"/>
  <c r="H1" i="9"/>
  <c r="B14" i="3"/>
  <c r="B9" i="3"/>
  <c r="B4" i="3"/>
  <c r="I10" i="7"/>
  <c r="J10" i="7"/>
  <c r="H10" i="7"/>
  <c r="F10" i="6"/>
  <c r="F11" i="6"/>
  <c r="F7" i="6"/>
  <c r="G10" i="6"/>
  <c r="G11" i="6"/>
  <c r="G7" i="6"/>
  <c r="E10" i="6"/>
  <c r="E11" i="6"/>
  <c r="E7" i="6"/>
  <c r="D11" i="5"/>
  <c r="D7" i="5"/>
  <c r="C11" i="5"/>
  <c r="C7" i="5"/>
  <c r="B11" i="5"/>
  <c r="B7" i="5"/>
  <c r="B7" i="9"/>
  <c r="C7" i="9"/>
  <c r="C6" i="9"/>
  <c r="B9" i="9"/>
  <c r="C3" i="9"/>
  <c r="B10" i="9"/>
  <c r="B12" i="9"/>
  <c r="B13" i="9"/>
  <c r="G7" i="7"/>
  <c r="F7" i="7"/>
  <c r="E7" i="7"/>
  <c r="D7" i="7"/>
  <c r="C7" i="7"/>
  <c r="B7" i="7"/>
  <c r="D7" i="6"/>
  <c r="C7" i="6"/>
  <c r="B7" i="6"/>
  <c r="M11" i="7"/>
  <c r="L11" i="7"/>
  <c r="K11" i="7"/>
  <c r="B10" i="6"/>
  <c r="G10" i="7"/>
  <c r="F10" i="7"/>
  <c r="E10" i="7"/>
  <c r="D10" i="6"/>
  <c r="C10" i="6"/>
  <c r="J11" i="6"/>
  <c r="I11" i="6"/>
  <c r="H11" i="6"/>
  <c r="G11" i="5"/>
  <c r="F11" i="5"/>
  <c r="E11" i="5"/>
</calcChain>
</file>

<file path=xl/sharedStrings.xml><?xml version="1.0" encoding="utf-8"?>
<sst xmlns="http://schemas.openxmlformats.org/spreadsheetml/2006/main" count="292" uniqueCount="73">
  <si>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</si>
  <si>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</si>
  <si>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</si>
  <si>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</si>
  <si>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</si>
  <si>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</si>
  <si>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</si>
  <si>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</si>
  <si>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</si>
  <si>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</si>
  <si>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</si>
  <si>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</si>
  <si>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Sales data for the past 2 years</t>
  </si>
  <si>
    <t>Go for better design</t>
  </si>
  <si>
    <t>Go for powerful battery</t>
  </si>
  <si>
    <t>Go for gestures</t>
  </si>
  <si>
    <t>Go for durability</t>
  </si>
  <si>
    <t>Yes (1) / No (0)</t>
  </si>
  <si>
    <t>Roy</t>
  </si>
  <si>
    <t>Kavita</t>
  </si>
  <si>
    <t>Jon</t>
  </si>
  <si>
    <t>Consensus</t>
  </si>
  <si>
    <t>Average</t>
  </si>
  <si>
    <t>Basic</t>
  </si>
  <si>
    <t>Updated</t>
  </si>
  <si>
    <t>Unit Price</t>
  </si>
  <si>
    <t>Variable Cost</t>
  </si>
  <si>
    <t>Profit</t>
  </si>
  <si>
    <t>Impact</t>
  </si>
  <si>
    <t>Fixed Cost</t>
  </si>
  <si>
    <t>per month</t>
  </si>
  <si>
    <t>Fixed Cost per unit</t>
  </si>
  <si>
    <t>Profit per unit</t>
  </si>
  <si>
    <t>Wayne Enterprise</t>
  </si>
  <si>
    <t>Maximum Capacity</t>
  </si>
  <si>
    <t>Lead Time</t>
  </si>
  <si>
    <t>Chopra Company</t>
  </si>
  <si>
    <t>units</t>
  </si>
  <si>
    <t>months</t>
  </si>
  <si>
    <t>USD</t>
  </si>
  <si>
    <t>In USD</t>
  </si>
  <si>
    <t>Chopra</t>
  </si>
  <si>
    <t>Carl and Sons</t>
  </si>
  <si>
    <t>Markdown Price</t>
  </si>
  <si>
    <t>Inventory Cost per month</t>
  </si>
  <si>
    <t>Year -1</t>
  </si>
  <si>
    <t>Year -2</t>
  </si>
  <si>
    <t>Wayne Enterprises</t>
  </si>
  <si>
    <t>Quarter 1</t>
  </si>
  <si>
    <t>Quarter 2</t>
  </si>
  <si>
    <t>Quarter 3</t>
  </si>
  <si>
    <t>Quarter 4</t>
  </si>
  <si>
    <t>Production</t>
  </si>
  <si>
    <t>Sales</t>
  </si>
  <si>
    <t>Inventory</t>
  </si>
  <si>
    <t>Actual Demand</t>
  </si>
  <si>
    <t>-</t>
  </si>
  <si>
    <t>Total Production</t>
  </si>
  <si>
    <t>Inventory Stored</t>
  </si>
  <si>
    <t>Markdown Sales</t>
  </si>
  <si>
    <t>Revenue</t>
  </si>
  <si>
    <t>Profit Margin</t>
  </si>
  <si>
    <t>Revenues</t>
  </si>
  <si>
    <t>Units Sold</t>
  </si>
  <si>
    <t>Your Average Forecast</t>
  </si>
  <si>
    <t>Current Order</t>
  </si>
  <si>
    <t>Previous Order</t>
  </si>
  <si>
    <t>Current Quarter</t>
  </si>
  <si>
    <t>Cost Advantage</t>
  </si>
  <si>
    <t>Total</t>
  </si>
  <si>
    <t>Please change only the green cells</t>
  </si>
  <si>
    <t>Follow the instructions by the instructor while play this simulation game</t>
  </si>
  <si>
    <t>Half of the supplies that you placed in the current quarter will not arrive because of a transportation crisis.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</si>
</sst>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indexed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0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0" fillId="0" borderId="0" xfId="0" applyProtection="1"/>
    <xf numFmtId="0" fontId="0" fillId="0" borderId="0" xfId="0" applyProtection="1">
      <protection locked="0"/>
    </xf>
    <xf numFmtId="0" fontId="0" fillId="2" borderId="0" xfId="0" applyFill="1" applyProtection="1"/>
    <xf numFmtId="0" fontId="0" fillId="3" borderId="0" xfId="0" applyFill="1" applyProtection="1"/>
    <xf numFmtId="0" fontId="0" fillId="0" borderId="1" xfId="0" applyBorder="1" applyProtection="1"/>
    <xf numFmtId="0" fontId="0" fillId="3" borderId="1" xfId="0" applyFill="1" applyBorder="1" applyProtection="1"/>
    <xf numFmtId="0" fontId="0" fillId="0" borderId="1" xfId="0" applyFill="1" applyBorder="1" applyProtection="1"/>
    <xf numFmtId="0" fontId="0" fillId="0" borderId="1" xfId="0" applyBorder="1"/>
    <xf numFmtId="0" fontId="0" fillId="0" borderId="0" xfId="0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9" fontId="0" fillId="3" borderId="7" xfId="1" applyFont="1" applyFill="1" applyBorder="1"/>
    <xf numFmtId="0" fontId="2" fillId="0" borderId="0" xfId="0" applyFont="1" applyProtection="1"/>
    <xf numFmtId="0" fontId="5" fillId="0" borderId="0" xfId="0" applyFont="1"/>
    <xf numFmtId="0" fontId="5" fillId="2" borderId="0" xfId="0" applyFont="1" applyFill="1"/>
    <xf numFmtId="0" fontId="2" fillId="0" borderId="1" xfId="0" applyFont="1" applyBorder="1"/>
    <xf numFmtId="0" fontId="2" fillId="0" borderId="1" xfId="0" applyFont="1" applyBorder="1" applyAlignment="1">
      <alignment vertical="center"/>
    </xf>
    <xf numFmtId="0" fontId="2" fillId="0" borderId="1" xfId="0" applyFont="1" applyBorder="1" applyProtection="1"/>
    <xf numFmtId="164" fontId="0" fillId="0" borderId="1" xfId="0" applyNumberFormat="1" applyBorder="1" applyProtection="1"/>
    <xf numFmtId="0" fontId="0" fillId="2" borderId="1" xfId="0" applyFill="1" applyBorder="1" applyProtection="1"/>
    <xf numFmtId="0" fontId="6" fillId="2" borderId="0" xfId="0" applyFont="1" applyFill="1" applyProtection="1"/>
    <xf numFmtId="0" fontId="6" fillId="0" borderId="0" xfId="0" applyFont="1" applyProtection="1"/>
    <xf numFmtId="0" fontId="0" fillId="0" borderId="1" xfId="0" applyBorder="1" applyAlignment="1" applyProtection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4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Expert Forecast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Basic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Predictions!$A$8:$A$12</c:f>
              <c:strCache>
                <c:ptCount val="5"/>
                <c:pt idx="0">
                  <c:v>Roy</c:v>
                </c:pt>
                <c:pt idx="1">
                  <c:v>Kavita</c:v>
                </c:pt>
                <c:pt idx="2">
                  <c:v>Jon</c:v>
                </c:pt>
                <c:pt idx="3">
                  <c:v>Average</c:v>
                </c:pt>
                <c:pt idx="4">
                  <c:v>Consensus</c:v>
                </c:pt>
              </c:strCache>
            </c:strRef>
          </c:cat>
          <c:val>
            <c:numRef>
              <c:f>Predictions!$B$8:$B$12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115</c:v>
                </c:pt>
                <c:pt idx="3" formatCode="0.0">
                  <c:v>103.33333333333333</c:v>
                </c:pt>
                <c:pt idx="4">
                  <c:v>105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28-4C83-A4AC-D8DEE11F21AA}"/>
            </c:ext>
          </c:extLst>
        </c:ser>
        <c:ser>
          <c:idx val="1"/>
          <c:order val="1"/>
          <c:tx>
            <c:v>Updated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Predictions!$A$8:$A$12</c:f>
              <c:strCache>
                <c:ptCount val="5"/>
                <c:pt idx="0">
                  <c:v>Roy</c:v>
                </c:pt>
                <c:pt idx="1">
                  <c:v>Kavita</c:v>
                </c:pt>
                <c:pt idx="2">
                  <c:v>Jon</c:v>
                </c:pt>
                <c:pt idx="3">
                  <c:v>Average</c:v>
                </c:pt>
                <c:pt idx="4">
                  <c:v>Consensus</c:v>
                </c:pt>
              </c:strCache>
            </c:strRef>
          </c:cat>
          <c:val>
            <c:numRef>
              <c:f>Predictions!$C$8:$C$12</c:f>
              <c:numCache>
                <c:formatCode>General</c:formatCode>
                <c:ptCount val="5"/>
                <c:pt idx="0">
                  <c:v>115</c:v>
                </c:pt>
                <c:pt idx="1">
                  <c:v>105</c:v>
                </c:pt>
                <c:pt idx="2">
                  <c:v>125</c:v>
                </c:pt>
                <c:pt idx="3" formatCode="0.0">
                  <c:v>115</c:v>
                </c:pt>
                <c:pt idx="4">
                  <c:v>120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28-4C83-A4AC-D8DEE11F2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42173904"/>
        <c:axId val="-442161392"/>
      </c:barChart>
      <c:catAx>
        <c:axId val="-4421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2161392"/>
        <c:crosses val="autoZero"/>
        <c:auto val="1"/>
        <c:lblAlgn val="ctr"/>
        <c:lblOffset val="100"/>
        <c:noMultiLvlLbl val="0"/>
      </c:catAx>
      <c:valAx>
        <c:axId val="-44216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21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9525</xdr:rowOff>
    </xdr:from>
    <xdr:to>
      <xdr:col>16</xdr:col>
      <xdr:colOff>0</xdr:colOff>
      <xdr:row>24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1</xdr:col>
      <xdr:colOff>19050</xdr:colOff>
      <xdr:row>28</xdr:row>
      <xdr:rowOff>180975</xdr:rowOff>
    </xdr:to>
    <xdr:sp macro="[0]!Protectcells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143500"/>
          <a:ext cx="15049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Freeze Cells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1</xdr:col>
      <xdr:colOff>514350</xdr:colOff>
      <xdr:row>17</xdr:row>
      <xdr:rowOff>3175</xdr:rowOff>
    </xdr:to>
    <xdr:sp macro="[0]!Quarter1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4800600"/>
          <a:ext cx="1974850" cy="358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Freeze Cells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1</xdr:col>
      <xdr:colOff>514350</xdr:colOff>
      <xdr:row>17</xdr:row>
      <xdr:rowOff>3175</xdr:rowOff>
    </xdr:to>
    <xdr:sp macro="[0]!Quarter2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4800600"/>
          <a:ext cx="1974850" cy="358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Freeze Cells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1</xdr:col>
      <xdr:colOff>514350</xdr:colOff>
      <xdr:row>17</xdr:row>
      <xdr:rowOff>3175</xdr:rowOff>
    </xdr:to>
    <xdr:sp macro="[0]!Quarter3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800600"/>
          <a:ext cx="1974850" cy="358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Freeze Cells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1</xdr:col>
      <xdr:colOff>514350</xdr:colOff>
      <xdr:row>17</xdr:row>
      <xdr:rowOff>3175</xdr:rowOff>
    </xdr:to>
    <xdr:sp macro="[0]!Quarter4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4800600"/>
          <a:ext cx="1974850" cy="358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Freeze Cells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"/>
  <sheetViews>
    <sheetView workbookViewId="0">
      <selection activeCell="A28" sqref="A28"/>
    </sheetView>
  </sheetViews>
  <sheetFormatPr defaultColWidth="8.81640625" defaultRowHeight="14.5" x14ac:dyDescent="0.35"/>
  <cols>
    <col min="1" max="1" width="140.1796875" bestFit="1" customWidth="1"/>
  </cols>
  <sheetData>
    <row r="1" spans="1:1" ht="31" x14ac:dyDescent="0.7">
      <c r="A1" s="19" t="s">
        <v>70</v>
      </c>
    </row>
    <row r="2" spans="1:1" ht="31" x14ac:dyDescent="0.7">
      <c r="A2" s="18" t="s">
        <v>71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99"/>
  <sheetViews>
    <sheetView tabSelected="1" workbookViewId="0">
      <selection activeCell="B5" sqref="B5"/>
    </sheetView>
  </sheetViews>
  <sheetFormatPr defaultColWidth="8.81640625" defaultRowHeight="14.5" x14ac:dyDescent="0.35"/>
  <cols>
    <col min="1" max="5" width="25.7265625" style="3" customWidth="1"/>
    <col min="6" max="16384" width="8.81640625" style="3"/>
  </cols>
  <sheetData>
    <row r="1" spans="1:26" x14ac:dyDescent="0.35">
      <c r="A1" s="2"/>
      <c r="B1" s="17" t="s">
        <v>17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35">
      <c r="A2" s="17" t="s">
        <v>13</v>
      </c>
      <c r="B2" s="4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35">
      <c r="A3" s="17" t="s">
        <v>14</v>
      </c>
      <c r="B3" s="4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5">
      <c r="A4" s="17" t="s">
        <v>15</v>
      </c>
      <c r="B4" s="4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5">
      <c r="A5" s="17" t="s">
        <v>16</v>
      </c>
      <c r="B5" s="4">
        <v>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35">
      <c r="A7" s="6"/>
      <c r="B7" s="22" t="s">
        <v>23</v>
      </c>
      <c r="C7" s="22" t="s">
        <v>24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35">
      <c r="A8" s="22" t="s">
        <v>18</v>
      </c>
      <c r="B8" s="6">
        <v>100</v>
      </c>
      <c r="C8" s="6">
        <f>B8+$B$2*20+$B$3*-15+$B$4*10+$B$5*-10</f>
        <v>115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5">
      <c r="A9" s="22" t="s">
        <v>19</v>
      </c>
      <c r="B9" s="6">
        <v>95</v>
      </c>
      <c r="C9" s="6">
        <f>B9+$B$2*5+$B$3*0+$B$4*5+$B$5*-10</f>
        <v>105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5">
      <c r="A10" s="22" t="s">
        <v>20</v>
      </c>
      <c r="B10" s="6">
        <v>115</v>
      </c>
      <c r="C10" s="6">
        <f>B10+$B$2*5+$B$3*10+$B$4*-5+$B$5*-5</f>
        <v>125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5">
      <c r="A11" s="22" t="s">
        <v>22</v>
      </c>
      <c r="B11" s="23">
        <f>AVERAGE(B8:B10)</f>
        <v>103.33333333333333</v>
      </c>
      <c r="C11" s="23">
        <f>AVERAGE(C8:C10)</f>
        <v>115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5">
      <c r="A12" s="22" t="s">
        <v>21</v>
      </c>
      <c r="B12" s="6">
        <v>105</v>
      </c>
      <c r="C12" s="6">
        <f>B12+$B$2*5+$B$3*5+$B$4*5+$B$5*-5</f>
        <v>120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5">
      <c r="A15" s="22" t="s">
        <v>40</v>
      </c>
      <c r="B15" s="22" t="s">
        <v>25</v>
      </c>
      <c r="C15" s="22" t="s">
        <v>26</v>
      </c>
      <c r="D15" s="22" t="s">
        <v>31</v>
      </c>
      <c r="E15" s="22" t="s">
        <v>32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5">
      <c r="A16" s="6" t="s">
        <v>23</v>
      </c>
      <c r="B16" s="6">
        <v>500</v>
      </c>
      <c r="C16" s="6">
        <v>300</v>
      </c>
      <c r="D16" s="23">
        <f>$B$24/$B$25</f>
        <v>76.19047619047619</v>
      </c>
      <c r="E16" s="23">
        <f>B16-C16-D16</f>
        <v>123.80952380952381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5">
      <c r="A17" s="6" t="s">
        <v>24</v>
      </c>
      <c r="B17" s="6">
        <f>$B$16+$B$2*15+$B$3*35+$B$4*20+$B$5*30</f>
        <v>570</v>
      </c>
      <c r="C17" s="6">
        <f>$C$16+$B$2*10+$B$3*30+$B$4*15+$B$5*45</f>
        <v>355</v>
      </c>
      <c r="D17" s="23">
        <f>$B$24/$B$25</f>
        <v>76.19047619047619</v>
      </c>
      <c r="E17" s="23">
        <f>B17-C17-D17</f>
        <v>138.8095238095238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5">
      <c r="A18" s="6" t="s">
        <v>28</v>
      </c>
      <c r="B18" s="6">
        <f>B17-B16</f>
        <v>70</v>
      </c>
      <c r="C18" s="6">
        <f>C17-C16</f>
        <v>55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5">
      <c r="A20" s="6"/>
      <c r="B20" s="6" t="s">
        <v>43</v>
      </c>
      <c r="C20" s="6" t="s">
        <v>44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5">
      <c r="A21" s="6" t="s">
        <v>23</v>
      </c>
      <c r="B21" s="6">
        <v>200</v>
      </c>
      <c r="C21" s="6">
        <v>20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5">
      <c r="A22" s="6" t="s">
        <v>24</v>
      </c>
      <c r="B22" s="6">
        <f>$B$21+$B$2*15+$B$3*35+$B$4*20+$B$5*30</f>
        <v>270</v>
      </c>
      <c r="C22" s="6">
        <f>C21+MIN(1,SUM(B2:B5))*10</f>
        <v>30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5">
      <c r="A24" s="6" t="s">
        <v>29</v>
      </c>
      <c r="B24" s="6">
        <v>8000</v>
      </c>
      <c r="C24" s="6" t="s">
        <v>30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5">
      <c r="A25" s="6" t="s">
        <v>64</v>
      </c>
      <c r="B25" s="24">
        <v>105</v>
      </c>
      <c r="C25" s="6" t="s">
        <v>30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</sheetData>
  <sheetProtection algorithmName="SHA-512" hashValue="9OXML4UjKTUCvoiA8jrO4U/1Qi/fMKTBNbo0ODs9SKpZ2KyGOlexTH6BMFyFbk8Nd5HiZFsMJERrokPps6yI2g==" saltValue="OczFSx0EIj84acifDZ6VPw==" spinCount="100000" sheet="1" objects="1" scenarios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5"/>
  <sheetViews>
    <sheetView workbookViewId="0">
      <selection activeCell="B15" sqref="B15:C15"/>
    </sheetView>
  </sheetViews>
  <sheetFormatPr defaultColWidth="8.81640625" defaultRowHeight="14.5" x14ac:dyDescent="0.35"/>
  <cols>
    <col min="1" max="1" width="27.453125" bestFit="1" customWidth="1"/>
    <col min="2" max="3" width="11" bestFit="1" customWidth="1"/>
  </cols>
  <sheetData>
    <row r="1" spans="1:3" x14ac:dyDescent="0.35">
      <c r="A1" s="1" t="s">
        <v>12</v>
      </c>
    </row>
    <row r="3" spans="1:3" ht="15.75" customHeight="1" x14ac:dyDescent="0.35">
      <c r="A3" s="20" t="s">
        <v>63</v>
      </c>
      <c r="B3" s="21" t="s">
        <v>45</v>
      </c>
      <c r="C3" s="21" t="s">
        <v>46</v>
      </c>
    </row>
    <row r="4" spans="1:3" x14ac:dyDescent="0.35">
      <c r="A4" s="20" t="s">
        <v>0</v>
      </c>
      <c r="B4" s="9">
        <v>68</v>
      </c>
      <c r="C4" s="9">
        <v>81</v>
      </c>
    </row>
    <row r="5" spans="1:3" x14ac:dyDescent="0.35">
      <c r="A5" s="20" t="s">
        <v>1</v>
      </c>
      <c r="B5" s="9">
        <v>70</v>
      </c>
      <c r="C5" s="9">
        <v>96</v>
      </c>
    </row>
    <row r="6" spans="1:3" x14ac:dyDescent="0.35">
      <c r="A6" s="20" t="s">
        <v>2</v>
      </c>
      <c r="B6" s="9">
        <v>80</v>
      </c>
      <c r="C6" s="9">
        <v>86</v>
      </c>
    </row>
    <row r="7" spans="1:3" x14ac:dyDescent="0.35">
      <c r="A7" s="20" t="s">
        <v>3</v>
      </c>
      <c r="B7" s="9">
        <v>80</v>
      </c>
      <c r="C7" s="9">
        <v>91</v>
      </c>
    </row>
    <row r="8" spans="1:3" x14ac:dyDescent="0.35">
      <c r="A8" s="20" t="s">
        <v>4</v>
      </c>
      <c r="B8" s="9">
        <v>68</v>
      </c>
      <c r="C8" s="9">
        <v>81</v>
      </c>
    </row>
    <row r="9" spans="1:3" x14ac:dyDescent="0.35">
      <c r="A9" s="20" t="s">
        <v>5</v>
      </c>
      <c r="B9" s="9">
        <v>77</v>
      </c>
      <c r="C9" s="9">
        <v>93</v>
      </c>
    </row>
    <row r="10" spans="1:3" x14ac:dyDescent="0.35">
      <c r="A10" s="20" t="s">
        <v>6</v>
      </c>
      <c r="B10" s="9">
        <v>85</v>
      </c>
      <c r="C10" s="9">
        <v>90</v>
      </c>
    </row>
    <row r="11" spans="1:3" x14ac:dyDescent="0.35">
      <c r="A11" s="20" t="s">
        <v>7</v>
      </c>
      <c r="B11" s="9">
        <v>80</v>
      </c>
      <c r="C11" s="9">
        <v>100</v>
      </c>
    </row>
    <row r="12" spans="1:3" x14ac:dyDescent="0.35">
      <c r="A12" s="20" t="s">
        <v>8</v>
      </c>
      <c r="B12" s="9">
        <v>71</v>
      </c>
      <c r="C12" s="9">
        <v>93</v>
      </c>
    </row>
    <row r="13" spans="1:3" x14ac:dyDescent="0.35">
      <c r="A13" s="20" t="s">
        <v>9</v>
      </c>
      <c r="B13" s="9">
        <v>82</v>
      </c>
      <c r="C13" s="9">
        <v>101</v>
      </c>
    </row>
    <row r="14" spans="1:3" x14ac:dyDescent="0.35">
      <c r="A14" s="20" t="s">
        <v>10</v>
      </c>
      <c r="B14" s="9">
        <v>93</v>
      </c>
      <c r="C14" s="9">
        <v>108</v>
      </c>
    </row>
    <row r="15" spans="1:3" x14ac:dyDescent="0.35">
      <c r="A15" s="20" t="s">
        <v>11</v>
      </c>
      <c r="B15" s="9">
        <v>156</v>
      </c>
      <c r="C15" s="9">
        <v>193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zoomScale="115" zoomScaleNormal="115" workbookViewId="0">
      <selection activeCell="I16" sqref="I16"/>
    </sheetView>
  </sheetViews>
  <sheetFormatPr defaultColWidth="8.81640625" defaultRowHeight="14.5" x14ac:dyDescent="0.35"/>
  <cols>
    <col min="1" max="1" width="18" bestFit="1" customWidth="1"/>
    <col min="5" max="5" width="14.81640625" bestFit="1" customWidth="1"/>
  </cols>
  <sheetData>
    <row r="1" spans="1:7" x14ac:dyDescent="0.35">
      <c r="A1" s="1" t="s">
        <v>33</v>
      </c>
    </row>
    <row r="2" spans="1:7" x14ac:dyDescent="0.35">
      <c r="A2" s="9" t="s">
        <v>34</v>
      </c>
      <c r="B2" s="9">
        <v>60</v>
      </c>
      <c r="C2" s="9" t="s">
        <v>37</v>
      </c>
    </row>
    <row r="3" spans="1:7" x14ac:dyDescent="0.35">
      <c r="A3" s="9" t="s">
        <v>35</v>
      </c>
      <c r="B3" s="9">
        <v>0</v>
      </c>
      <c r="C3" s="9" t="s">
        <v>38</v>
      </c>
    </row>
    <row r="4" spans="1:7" x14ac:dyDescent="0.35">
      <c r="A4" s="9" t="s">
        <v>25</v>
      </c>
      <c r="B4" s="9">
        <f>Predictions!C17-100</f>
        <v>255</v>
      </c>
      <c r="C4" s="9" t="s">
        <v>39</v>
      </c>
    </row>
    <row r="6" spans="1:7" x14ac:dyDescent="0.35">
      <c r="A6" s="1" t="s">
        <v>41</v>
      </c>
    </row>
    <row r="7" spans="1:7" x14ac:dyDescent="0.35">
      <c r="A7" s="9" t="s">
        <v>34</v>
      </c>
      <c r="B7" s="9">
        <v>100</v>
      </c>
      <c r="C7" s="9" t="s">
        <v>37</v>
      </c>
    </row>
    <row r="8" spans="1:7" x14ac:dyDescent="0.35">
      <c r="A8" s="9" t="s">
        <v>35</v>
      </c>
      <c r="B8" s="9">
        <v>1</v>
      </c>
      <c r="C8" s="9" t="s">
        <v>38</v>
      </c>
    </row>
    <row r="9" spans="1:7" x14ac:dyDescent="0.35">
      <c r="A9" s="9" t="s">
        <v>25</v>
      </c>
      <c r="B9" s="9">
        <f>Predictions!C17-140</f>
        <v>215</v>
      </c>
      <c r="C9" s="9" t="s">
        <v>39</v>
      </c>
      <c r="E9" s="9" t="s">
        <v>68</v>
      </c>
      <c r="F9" s="9">
        <v>40</v>
      </c>
      <c r="G9" s="9" t="s">
        <v>39</v>
      </c>
    </row>
    <row r="11" spans="1:7" x14ac:dyDescent="0.35">
      <c r="A11" s="1" t="s">
        <v>42</v>
      </c>
    </row>
    <row r="12" spans="1:7" x14ac:dyDescent="0.35">
      <c r="A12" s="9" t="s">
        <v>34</v>
      </c>
      <c r="B12" s="9">
        <v>150</v>
      </c>
      <c r="C12" s="9" t="s">
        <v>37</v>
      </c>
    </row>
    <row r="13" spans="1:7" x14ac:dyDescent="0.35">
      <c r="A13" s="9" t="s">
        <v>35</v>
      </c>
      <c r="B13" s="9">
        <v>3</v>
      </c>
      <c r="C13" s="9" t="s">
        <v>38</v>
      </c>
    </row>
    <row r="14" spans="1:7" x14ac:dyDescent="0.35">
      <c r="A14" s="9" t="s">
        <v>25</v>
      </c>
      <c r="B14" s="9">
        <f>Predictions!C17-180</f>
        <v>175</v>
      </c>
      <c r="C14" s="9" t="s">
        <v>39</v>
      </c>
      <c r="E14" s="9" t="s">
        <v>68</v>
      </c>
      <c r="F14" s="9">
        <v>80</v>
      </c>
      <c r="G14" s="9" t="s">
        <v>39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99"/>
  <sheetViews>
    <sheetView topLeftCell="E1" zoomScale="145" zoomScaleNormal="145" zoomScalePageLayoutView="200" workbookViewId="0">
      <selection activeCell="M9" sqref="M9"/>
    </sheetView>
  </sheetViews>
  <sheetFormatPr defaultColWidth="8.81640625" defaultRowHeight="14.5" x14ac:dyDescent="0.35"/>
  <cols>
    <col min="1" max="1" width="19.1796875" style="3" bestFit="1" customWidth="1"/>
    <col min="2" max="13" width="10.7265625" style="3" customWidth="1"/>
    <col min="14" max="16384" width="8.81640625" style="3"/>
  </cols>
  <sheetData>
    <row r="1" spans="1:26" x14ac:dyDescent="0.35">
      <c r="A1" s="2"/>
      <c r="B1" s="5" t="s">
        <v>48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35">
      <c r="A2" s="2" t="s">
        <v>47</v>
      </c>
      <c r="B2" s="4">
        <v>44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35">
      <c r="A3" s="2" t="s">
        <v>36</v>
      </c>
      <c r="B3" s="4">
        <v>54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5">
      <c r="A4" s="2" t="s">
        <v>42</v>
      </c>
      <c r="B4" s="4">
        <v>66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5">
      <c r="A5" s="6"/>
      <c r="B5" s="27" t="s">
        <v>67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5">
      <c r="A6" s="6"/>
      <c r="B6" s="7" t="s">
        <v>0</v>
      </c>
      <c r="C6" s="7" t="s">
        <v>1</v>
      </c>
      <c r="D6" s="7" t="s">
        <v>2</v>
      </c>
      <c r="E6" s="6" t="s">
        <v>3</v>
      </c>
      <c r="F6" s="6" t="s">
        <v>4</v>
      </c>
      <c r="G6" s="6" t="s">
        <v>5</v>
      </c>
      <c r="H6" s="6" t="s">
        <v>6</v>
      </c>
      <c r="I6" s="6" t="s">
        <v>7</v>
      </c>
      <c r="J6" s="6" t="s">
        <v>8</v>
      </c>
      <c r="K6" s="6" t="s">
        <v>9</v>
      </c>
      <c r="L6" s="6" t="s">
        <v>10</v>
      </c>
      <c r="M6" s="6" t="s">
        <v>11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35">
      <c r="A7" s="6" t="s">
        <v>52</v>
      </c>
      <c r="B7" s="7">
        <f>B11</f>
        <v>44</v>
      </c>
      <c r="C7" s="7">
        <f>C11</f>
        <v>98</v>
      </c>
      <c r="D7" s="7">
        <f>D11</f>
        <v>98</v>
      </c>
      <c r="E7" s="6" t="s">
        <v>56</v>
      </c>
      <c r="F7" s="6" t="s">
        <v>56</v>
      </c>
      <c r="G7" s="6" t="s">
        <v>56</v>
      </c>
      <c r="H7" s="6" t="s">
        <v>56</v>
      </c>
      <c r="I7" s="6" t="s">
        <v>56</v>
      </c>
      <c r="J7" s="6" t="s">
        <v>56</v>
      </c>
      <c r="K7" s="6" t="s">
        <v>56</v>
      </c>
      <c r="L7" s="6" t="s">
        <v>56</v>
      </c>
      <c r="M7" s="6" t="s">
        <v>56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35">
      <c r="A8" s="6" t="s">
        <v>53</v>
      </c>
      <c r="B8" s="7">
        <f>MIN(B12,B7)</f>
        <v>44</v>
      </c>
      <c r="C8" s="7">
        <f>MIN(C12,C7+B9)</f>
        <v>97</v>
      </c>
      <c r="D8" s="7">
        <f>MIN(D12,D7+C9)</f>
        <v>99</v>
      </c>
      <c r="E8" s="6" t="s">
        <v>56</v>
      </c>
      <c r="F8" s="6" t="s">
        <v>56</v>
      </c>
      <c r="G8" s="6" t="s">
        <v>56</v>
      </c>
      <c r="H8" s="6" t="s">
        <v>56</v>
      </c>
      <c r="I8" s="6" t="s">
        <v>56</v>
      </c>
      <c r="J8" s="6" t="s">
        <v>56</v>
      </c>
      <c r="K8" s="6" t="s">
        <v>56</v>
      </c>
      <c r="L8" s="6" t="s">
        <v>56</v>
      </c>
      <c r="M8" s="6" t="s">
        <v>56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5">
      <c r="A9" s="6" t="s">
        <v>54</v>
      </c>
      <c r="B9" s="7">
        <v>0</v>
      </c>
      <c r="C9" s="7">
        <f>MAX(0,B9+C7-C12)</f>
        <v>1</v>
      </c>
      <c r="D9" s="7">
        <f>MAX(0,C9+D7-D12)</f>
        <v>0</v>
      </c>
      <c r="E9" s="6" t="s">
        <v>56</v>
      </c>
      <c r="F9" s="6" t="s">
        <v>56</v>
      </c>
      <c r="G9" s="6" t="s">
        <v>56</v>
      </c>
      <c r="H9" s="6" t="s">
        <v>56</v>
      </c>
      <c r="I9" s="6" t="s">
        <v>56</v>
      </c>
      <c r="J9" s="6" t="s">
        <v>56</v>
      </c>
      <c r="K9" s="6" t="s">
        <v>56</v>
      </c>
      <c r="L9" s="6" t="s">
        <v>56</v>
      </c>
      <c r="M9" s="6" t="s">
        <v>56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5">
      <c r="A10" s="6"/>
      <c r="B10" s="7"/>
      <c r="C10" s="7"/>
      <c r="D10" s="7"/>
      <c r="E10" s="6"/>
      <c r="F10" s="6"/>
      <c r="G10" s="6"/>
      <c r="H10" s="6"/>
      <c r="I10" s="6"/>
      <c r="J10" s="6"/>
      <c r="K10" s="6"/>
      <c r="L10" s="6"/>
      <c r="M10" s="6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5">
      <c r="A11" s="6" t="s">
        <v>65</v>
      </c>
      <c r="B11" s="7">
        <f>B2</f>
        <v>44</v>
      </c>
      <c r="C11" s="7">
        <f>B2+B3</f>
        <v>98</v>
      </c>
      <c r="D11" s="7">
        <f>B2+B3</f>
        <v>98</v>
      </c>
      <c r="E11" s="6">
        <f>B3+B4</f>
        <v>120</v>
      </c>
      <c r="F11" s="6">
        <f>B4</f>
        <v>66</v>
      </c>
      <c r="G11" s="6">
        <f>B4</f>
        <v>66</v>
      </c>
      <c r="H11" s="6" t="s">
        <v>56</v>
      </c>
      <c r="I11" s="6" t="s">
        <v>56</v>
      </c>
      <c r="J11" s="6" t="s">
        <v>56</v>
      </c>
      <c r="K11" s="6" t="s">
        <v>56</v>
      </c>
      <c r="L11" s="6" t="s">
        <v>56</v>
      </c>
      <c r="M11" s="6" t="s">
        <v>56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5">
      <c r="A12" s="6" t="s">
        <v>55</v>
      </c>
      <c r="B12" s="7">
        <v>94</v>
      </c>
      <c r="C12" s="7">
        <v>97</v>
      </c>
      <c r="D12" s="7">
        <v>102</v>
      </c>
      <c r="E12" s="6" t="s">
        <v>56</v>
      </c>
      <c r="F12" s="6" t="s">
        <v>56</v>
      </c>
      <c r="G12" s="6" t="s">
        <v>56</v>
      </c>
      <c r="H12" s="6" t="s">
        <v>56</v>
      </c>
      <c r="I12" s="6" t="s">
        <v>56</v>
      </c>
      <c r="J12" s="6" t="s">
        <v>56</v>
      </c>
      <c r="K12" s="6" t="s">
        <v>56</v>
      </c>
      <c r="L12" s="6" t="s">
        <v>56</v>
      </c>
      <c r="M12" s="6" t="s">
        <v>56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</sheetData>
  <sheetProtection algorithmName="SHA-512" hashValue="fdG029UFepMeHsEVWlCCUH5OB1UJrufHEgVyLowXOp/Ngx6gJbpMegGkoBtBgQLGjqzICdDwxj1jygs0iOtkfA==" saltValue="4b15xAzQkUFZg4fQ7cRT5g==" spinCount="100000" sheet="1" objects="1" scenarios="1"/>
  <dataConsolidate/>
  <mergeCells count="4">
    <mergeCell ref="B5:D5"/>
    <mergeCell ref="E5:G5"/>
    <mergeCell ref="H5:J5"/>
    <mergeCell ref="K5:M5"/>
  </mergeCells>
  <dataValidations count="3">
    <dataValidation type="whole" allowBlank="1" showInputMessage="1" showErrorMessage="1" error="This supplier supplies a maximum of 60 units in whole numbers." sqref="B2:E2">
      <formula1>0</formula1>
      <formula2>60</formula2>
    </dataValidation>
    <dataValidation type="whole" allowBlank="1" showInputMessage="1" showErrorMessage="1" error="This supplier supplies a maximum of 100 units in whole numbers." sqref="B3:E3">
      <formula1>0</formula1>
      <formula2>100</formula2>
    </dataValidation>
    <dataValidation type="whole" allowBlank="1" showInputMessage="1" showErrorMessage="1" error="This supplier supplies a maximum of 150 units in whole numbers." sqref="B4:E4">
      <formula1>0</formula1>
      <formula2>150</formula2>
    </dataValidation>
  </dataValidations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9"/>
  <sheetViews>
    <sheetView topLeftCell="B1" zoomScale="145" zoomScaleNormal="145" zoomScalePageLayoutView="200" workbookViewId="0">
      <selection activeCell="I11" sqref="I11"/>
    </sheetView>
  </sheetViews>
  <sheetFormatPr defaultColWidth="8.81640625" defaultRowHeight="14.5" x14ac:dyDescent="0.35"/>
  <cols>
    <col min="1" max="1" width="19.1796875" style="3" bestFit="1" customWidth="1"/>
    <col min="2" max="13" width="10.7265625" style="3" customWidth="1"/>
    <col min="14" max="16384" width="8.81640625" style="3"/>
  </cols>
  <sheetData>
    <row r="1" spans="1:26" x14ac:dyDescent="0.35">
      <c r="A1" s="2"/>
      <c r="B1" s="2" t="s">
        <v>48</v>
      </c>
      <c r="C1" s="5" t="s">
        <v>49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35">
      <c r="A2" s="2" t="s">
        <v>47</v>
      </c>
      <c r="B2" s="2">
        <f>'Quarter 1'!B2</f>
        <v>44</v>
      </c>
      <c r="C2" s="4"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35">
      <c r="A3" s="2" t="s">
        <v>36</v>
      </c>
      <c r="B3" s="2">
        <f>'Quarter 1'!B3</f>
        <v>54</v>
      </c>
      <c r="C3" s="4">
        <v>34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5">
      <c r="A4" s="2" t="s">
        <v>42</v>
      </c>
      <c r="B4" s="2">
        <f>'Quarter 1'!B4</f>
        <v>66</v>
      </c>
      <c r="C4" s="4">
        <v>0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5">
      <c r="A5" s="6"/>
      <c r="B5" s="27"/>
      <c r="C5" s="27"/>
      <c r="D5" s="27"/>
      <c r="E5" s="27" t="s">
        <v>67</v>
      </c>
      <c r="F5" s="27"/>
      <c r="G5" s="27"/>
      <c r="H5" s="27"/>
      <c r="I5" s="27"/>
      <c r="J5" s="27"/>
      <c r="K5" s="27"/>
      <c r="L5" s="27"/>
      <c r="M5" s="2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5">
      <c r="A6" s="6"/>
      <c r="B6" s="8" t="s">
        <v>0</v>
      </c>
      <c r="C6" s="8" t="s">
        <v>1</v>
      </c>
      <c r="D6" s="8" t="s">
        <v>2</v>
      </c>
      <c r="E6" s="7" t="s">
        <v>3</v>
      </c>
      <c r="F6" s="7" t="s">
        <v>4</v>
      </c>
      <c r="G6" s="7" t="s">
        <v>5</v>
      </c>
      <c r="H6" s="6" t="s">
        <v>6</v>
      </c>
      <c r="I6" s="6" t="s">
        <v>7</v>
      </c>
      <c r="J6" s="6" t="s">
        <v>8</v>
      </c>
      <c r="K6" s="6" t="s">
        <v>9</v>
      </c>
      <c r="L6" s="6" t="s">
        <v>10</v>
      </c>
      <c r="M6" s="6" t="s">
        <v>11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35">
      <c r="A7" s="6" t="s">
        <v>52</v>
      </c>
      <c r="B7" s="8">
        <f>B2</f>
        <v>44</v>
      </c>
      <c r="C7" s="8">
        <f>B2+B3</f>
        <v>98</v>
      </c>
      <c r="D7" s="8">
        <f>B2+B3</f>
        <v>98</v>
      </c>
      <c r="E7" s="7">
        <f>E10+E11</f>
        <v>120</v>
      </c>
      <c r="F7" s="7">
        <f t="shared" ref="F7:G7" si="0">F10+F11</f>
        <v>100</v>
      </c>
      <c r="G7" s="7">
        <f t="shared" si="0"/>
        <v>100</v>
      </c>
      <c r="H7" s="6" t="s">
        <v>56</v>
      </c>
      <c r="I7" s="6" t="s">
        <v>56</v>
      </c>
      <c r="J7" s="6" t="s">
        <v>56</v>
      </c>
      <c r="K7" s="6" t="s">
        <v>56</v>
      </c>
      <c r="L7" s="6" t="s">
        <v>56</v>
      </c>
      <c r="M7" s="6" t="s">
        <v>56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35">
      <c r="A8" s="6" t="s">
        <v>53</v>
      </c>
      <c r="B8" s="8">
        <f>MIN(B12,B7)</f>
        <v>44</v>
      </c>
      <c r="C8" s="8">
        <f>MIN(C12,C7+B9)</f>
        <v>97</v>
      </c>
      <c r="D8" s="8">
        <f>MIN(D12,D7+C9)</f>
        <v>99</v>
      </c>
      <c r="E8" s="7">
        <f>MIN(E12,E7+D9)</f>
        <v>104</v>
      </c>
      <c r="F8" s="7">
        <f>MIN(F12,F7+E9)</f>
        <v>108</v>
      </c>
      <c r="G8" s="7">
        <f>MIN(G12,G7+F9)</f>
        <v>94</v>
      </c>
      <c r="H8" s="6" t="s">
        <v>56</v>
      </c>
      <c r="I8" s="6" t="s">
        <v>56</v>
      </c>
      <c r="J8" s="6" t="s">
        <v>56</v>
      </c>
      <c r="K8" s="6" t="s">
        <v>56</v>
      </c>
      <c r="L8" s="6" t="s">
        <v>56</v>
      </c>
      <c r="M8" s="6" t="s">
        <v>56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5">
      <c r="A9" s="6" t="s">
        <v>54</v>
      </c>
      <c r="B9" s="8">
        <v>0</v>
      </c>
      <c r="C9" s="8">
        <f>MAX(0,B9+C7-C12)</f>
        <v>1</v>
      </c>
      <c r="D9" s="8">
        <f>MAX(0,C9+D7-D12)</f>
        <v>0</v>
      </c>
      <c r="E9" s="7">
        <f>MAX(0,D9+E7-E12)</f>
        <v>16</v>
      </c>
      <c r="F9" s="7">
        <f>MAX(0,E9+F7-F12)</f>
        <v>8</v>
      </c>
      <c r="G9" s="7">
        <f>MAX(0,F9+G7-G12)</f>
        <v>14</v>
      </c>
      <c r="H9" s="6" t="s">
        <v>56</v>
      </c>
      <c r="I9" s="6" t="s">
        <v>56</v>
      </c>
      <c r="J9" s="6" t="s">
        <v>56</v>
      </c>
      <c r="K9" s="6" t="s">
        <v>56</v>
      </c>
      <c r="L9" s="6" t="s">
        <v>56</v>
      </c>
      <c r="M9" s="6" t="s">
        <v>56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5">
      <c r="A10" s="6" t="s">
        <v>66</v>
      </c>
      <c r="B10" s="8">
        <f>B2</f>
        <v>44</v>
      </c>
      <c r="C10" s="8">
        <f>B2+B3</f>
        <v>98</v>
      </c>
      <c r="D10" s="8">
        <f>B2+B3</f>
        <v>98</v>
      </c>
      <c r="E10" s="7">
        <f>B3+B4</f>
        <v>120</v>
      </c>
      <c r="F10" s="7">
        <f>B4</f>
        <v>66</v>
      </c>
      <c r="G10" s="7">
        <f>B4</f>
        <v>66</v>
      </c>
      <c r="H10" s="6"/>
      <c r="I10" s="6"/>
      <c r="J10" s="6"/>
      <c r="K10" s="6"/>
      <c r="L10" s="6"/>
      <c r="M10" s="6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5">
      <c r="A11" s="6" t="s">
        <v>65</v>
      </c>
      <c r="B11" s="8" t="s">
        <v>56</v>
      </c>
      <c r="C11" s="8" t="s">
        <v>56</v>
      </c>
      <c r="D11" s="8" t="s">
        <v>56</v>
      </c>
      <c r="E11" s="7">
        <f>C2</f>
        <v>0</v>
      </c>
      <c r="F11" s="7">
        <f>C2+C3</f>
        <v>34</v>
      </c>
      <c r="G11" s="7">
        <f>C2+C3</f>
        <v>34</v>
      </c>
      <c r="H11" s="6">
        <f>C3+C4</f>
        <v>34</v>
      </c>
      <c r="I11" s="6">
        <f>C4</f>
        <v>0</v>
      </c>
      <c r="J11" s="6">
        <f>C4</f>
        <v>0</v>
      </c>
      <c r="K11" s="6" t="s">
        <v>56</v>
      </c>
      <c r="L11" s="6" t="s">
        <v>56</v>
      </c>
      <c r="M11" s="6" t="s">
        <v>56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5">
      <c r="A12" s="6" t="s">
        <v>55</v>
      </c>
      <c r="B12" s="8">
        <v>94</v>
      </c>
      <c r="C12" s="8">
        <v>97</v>
      </c>
      <c r="D12" s="8">
        <v>102</v>
      </c>
      <c r="E12" s="7">
        <v>104</v>
      </c>
      <c r="F12" s="7">
        <v>108</v>
      </c>
      <c r="G12" s="7">
        <v>94</v>
      </c>
      <c r="H12" s="6" t="s">
        <v>56</v>
      </c>
      <c r="I12" s="6" t="s">
        <v>56</v>
      </c>
      <c r="J12" s="6" t="s">
        <v>56</v>
      </c>
      <c r="K12" s="6" t="s">
        <v>56</v>
      </c>
      <c r="L12" s="6" t="s">
        <v>56</v>
      </c>
      <c r="M12" s="6" t="s">
        <v>56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</sheetData>
  <sheetProtection algorithmName="SHA-512" hashValue="vXOVcyQClwkUzYECxMK1qC7Cn7UnHc8XOjUAhb0MsfQjqDGw0XqdgmYGRcz6/5IG+HM3myiIEPn2KLYyP/v9UA==" saltValue="u1XsUj5ICHO86MmqgmuR1w==" spinCount="100000" sheet="1" objects="1" scenarios="1"/>
  <mergeCells count="4">
    <mergeCell ref="B5:D5"/>
    <mergeCell ref="E5:G5"/>
    <mergeCell ref="H5:J5"/>
    <mergeCell ref="K5:M5"/>
  </mergeCells>
  <dataValidations count="3">
    <dataValidation type="whole" allowBlank="1" showInputMessage="1" showErrorMessage="1" error="This supplier supplies a maximum of 150 units in whole numbers." sqref="C4:E4">
      <formula1>0</formula1>
      <formula2>150</formula2>
    </dataValidation>
    <dataValidation type="whole" allowBlank="1" showInputMessage="1" showErrorMessage="1" error="This supplier supplies a maximum of 100 units in whole numbers." sqref="C3:E3">
      <formula1>0</formula1>
      <formula2>100</formula2>
    </dataValidation>
    <dataValidation type="whole" allowBlank="1" showInputMessage="1" showErrorMessage="1" error="This supplier supplies a maximum of 60 units in whole numbers." sqref="B2:E2 B3:B4 B12:D12 B8:D9">
      <formula1>0</formula1>
      <formula2>60</formula2>
    </dataValidation>
  </dataValidations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99"/>
  <sheetViews>
    <sheetView topLeftCell="C1" zoomScale="145" zoomScaleNormal="145" zoomScalePageLayoutView="200" workbookViewId="0">
      <selection activeCell="A14" sqref="A14"/>
    </sheetView>
  </sheetViews>
  <sheetFormatPr defaultColWidth="8.81640625" defaultRowHeight="14.5" x14ac:dyDescent="0.35"/>
  <cols>
    <col min="1" max="1" width="19.1796875" style="3" bestFit="1" customWidth="1"/>
    <col min="2" max="13" width="10.7265625" style="3" customWidth="1"/>
    <col min="14" max="16384" width="8.81640625" style="3"/>
  </cols>
  <sheetData>
    <row r="1" spans="1:26" x14ac:dyDescent="0.35">
      <c r="A1" s="2"/>
      <c r="B1" s="2" t="s">
        <v>48</v>
      </c>
      <c r="C1" s="2" t="s">
        <v>49</v>
      </c>
      <c r="D1" s="5" t="s">
        <v>50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35">
      <c r="A2" s="2" t="s">
        <v>47</v>
      </c>
      <c r="B2" s="2">
        <f>'Quarter 2'!B2</f>
        <v>44</v>
      </c>
      <c r="C2" s="2">
        <f>'Quarter 2'!C2</f>
        <v>0</v>
      </c>
      <c r="D2" s="25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35">
      <c r="A3" s="2" t="s">
        <v>36</v>
      </c>
      <c r="B3" s="2">
        <f>'Quarter 2'!B3</f>
        <v>54</v>
      </c>
      <c r="C3" s="2">
        <f>'Quarter 2'!C3</f>
        <v>34</v>
      </c>
      <c r="D3" s="25">
        <v>16.5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5">
      <c r="A4" s="2" t="s">
        <v>42</v>
      </c>
      <c r="B4" s="2">
        <f>'Quarter 2'!B4</f>
        <v>66</v>
      </c>
      <c r="C4" s="2">
        <v>54</v>
      </c>
      <c r="D4" s="25">
        <v>22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5">
      <c r="A5" s="6"/>
      <c r="B5" s="27"/>
      <c r="C5" s="27"/>
      <c r="D5" s="27"/>
      <c r="E5" s="27"/>
      <c r="F5" s="27"/>
      <c r="G5" s="27"/>
      <c r="H5" s="27" t="s">
        <v>67</v>
      </c>
      <c r="I5" s="27"/>
      <c r="J5" s="27"/>
      <c r="K5" s="27"/>
      <c r="L5" s="27"/>
      <c r="M5" s="2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5">
      <c r="A6" s="6"/>
      <c r="B6" s="6" t="s">
        <v>0</v>
      </c>
      <c r="C6" s="6" t="s">
        <v>1</v>
      </c>
      <c r="D6" s="6" t="s">
        <v>2</v>
      </c>
      <c r="E6" s="6" t="s">
        <v>3</v>
      </c>
      <c r="F6" s="6" t="s">
        <v>4</v>
      </c>
      <c r="G6" s="6" t="s">
        <v>5</v>
      </c>
      <c r="H6" s="7" t="s">
        <v>6</v>
      </c>
      <c r="I6" s="7" t="s">
        <v>7</v>
      </c>
      <c r="J6" s="7" t="s">
        <v>8</v>
      </c>
      <c r="K6" s="6" t="s">
        <v>9</v>
      </c>
      <c r="L6" s="6" t="s">
        <v>10</v>
      </c>
      <c r="M6" s="6" t="s">
        <v>11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35">
      <c r="A7" s="6" t="s">
        <v>52</v>
      </c>
      <c r="B7" s="6">
        <f>B2</f>
        <v>44</v>
      </c>
      <c r="C7" s="6">
        <f>B2+B3</f>
        <v>98</v>
      </c>
      <c r="D7" s="6">
        <f>B2+B3</f>
        <v>98</v>
      </c>
      <c r="E7" s="6">
        <f>B3+B4+C2</f>
        <v>120</v>
      </c>
      <c r="F7" s="6">
        <f>B4+C2+C3</f>
        <v>100</v>
      </c>
      <c r="G7" s="6">
        <f>B4+C2+C3</f>
        <v>100</v>
      </c>
      <c r="H7" s="7">
        <f>H10+H11</f>
        <v>88</v>
      </c>
      <c r="I7" s="7">
        <f t="shared" ref="I7:J7" si="0">I10+I11</f>
        <v>70.5</v>
      </c>
      <c r="J7" s="7">
        <f t="shared" si="0"/>
        <v>70.5</v>
      </c>
      <c r="K7" s="6" t="s">
        <v>56</v>
      </c>
      <c r="L7" s="6" t="s">
        <v>56</v>
      </c>
      <c r="M7" s="6" t="s">
        <v>56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35">
      <c r="A8" s="6" t="s">
        <v>53</v>
      </c>
      <c r="B8" s="6">
        <f>MIN(B12,B7)</f>
        <v>44</v>
      </c>
      <c r="C8" s="6">
        <f t="shared" ref="C8:J8" si="1">MIN(C12,C7+B9)</f>
        <v>97</v>
      </c>
      <c r="D8" s="6">
        <f t="shared" si="1"/>
        <v>99</v>
      </c>
      <c r="E8" s="6">
        <f t="shared" si="1"/>
        <v>104</v>
      </c>
      <c r="F8" s="6">
        <f t="shared" si="1"/>
        <v>108</v>
      </c>
      <c r="G8" s="6">
        <f t="shared" si="1"/>
        <v>94</v>
      </c>
      <c r="H8" s="7">
        <f t="shared" si="1"/>
        <v>95</v>
      </c>
      <c r="I8" s="7">
        <f t="shared" si="1"/>
        <v>77.5</v>
      </c>
      <c r="J8" s="7">
        <f t="shared" si="1"/>
        <v>70.5</v>
      </c>
      <c r="K8" s="6" t="s">
        <v>56</v>
      </c>
      <c r="L8" s="6" t="s">
        <v>56</v>
      </c>
      <c r="M8" s="6" t="s">
        <v>56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5">
      <c r="A9" s="6" t="s">
        <v>54</v>
      </c>
      <c r="B9" s="6">
        <v>0</v>
      </c>
      <c r="C9" s="6">
        <f t="shared" ref="C9:J9" si="2">MAX(0,B9+C7-C12)</f>
        <v>1</v>
      </c>
      <c r="D9" s="6">
        <f t="shared" si="2"/>
        <v>0</v>
      </c>
      <c r="E9" s="6">
        <f t="shared" si="2"/>
        <v>16</v>
      </c>
      <c r="F9" s="6">
        <f t="shared" si="2"/>
        <v>8</v>
      </c>
      <c r="G9" s="6">
        <f t="shared" si="2"/>
        <v>14</v>
      </c>
      <c r="H9" s="7">
        <f t="shared" si="2"/>
        <v>7</v>
      </c>
      <c r="I9" s="7">
        <f t="shared" si="2"/>
        <v>0</v>
      </c>
      <c r="J9" s="7">
        <f t="shared" si="2"/>
        <v>0</v>
      </c>
      <c r="K9" s="6" t="s">
        <v>56</v>
      </c>
      <c r="L9" s="6" t="s">
        <v>56</v>
      </c>
      <c r="M9" s="6" t="s">
        <v>56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5">
      <c r="A10" s="6" t="s">
        <v>66</v>
      </c>
      <c r="B10" s="6" t="s">
        <v>56</v>
      </c>
      <c r="C10" s="6" t="s">
        <v>56</v>
      </c>
      <c r="D10" s="6" t="s">
        <v>56</v>
      </c>
      <c r="E10" s="6">
        <f>C2</f>
        <v>0</v>
      </c>
      <c r="F10" s="6">
        <f>C2+C3</f>
        <v>34</v>
      </c>
      <c r="G10" s="6">
        <f>C2+C3</f>
        <v>34</v>
      </c>
      <c r="H10" s="7">
        <f>C3+C4</f>
        <v>88</v>
      </c>
      <c r="I10" s="7">
        <f>C4</f>
        <v>54</v>
      </c>
      <c r="J10" s="7">
        <f>C4</f>
        <v>54</v>
      </c>
      <c r="K10" s="6" t="s">
        <v>56</v>
      </c>
      <c r="L10" s="6" t="s">
        <v>56</v>
      </c>
      <c r="M10" s="6" t="s">
        <v>56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5">
      <c r="A11" s="6" t="s">
        <v>65</v>
      </c>
      <c r="B11" s="6" t="s">
        <v>56</v>
      </c>
      <c r="C11" s="6" t="s">
        <v>56</v>
      </c>
      <c r="D11" s="6" t="s">
        <v>56</v>
      </c>
      <c r="E11" s="6" t="s">
        <v>56</v>
      </c>
      <c r="F11" s="6" t="s">
        <v>56</v>
      </c>
      <c r="G11" s="6" t="s">
        <v>56</v>
      </c>
      <c r="H11" s="7">
        <f>D2</f>
        <v>0</v>
      </c>
      <c r="I11" s="7">
        <f>D2+D3</f>
        <v>16.5</v>
      </c>
      <c r="J11" s="7">
        <f>D2+D3</f>
        <v>16.5</v>
      </c>
      <c r="K11" s="6">
        <f>D3+D4</f>
        <v>38.5</v>
      </c>
      <c r="L11" s="6">
        <f>D4</f>
        <v>22</v>
      </c>
      <c r="M11" s="6">
        <f>D4</f>
        <v>22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5">
      <c r="A12" s="6" t="s">
        <v>55</v>
      </c>
      <c r="B12" s="6">
        <v>94</v>
      </c>
      <c r="C12" s="6">
        <v>97</v>
      </c>
      <c r="D12" s="6">
        <v>102</v>
      </c>
      <c r="E12" s="6">
        <v>104</v>
      </c>
      <c r="F12" s="6">
        <v>108</v>
      </c>
      <c r="G12" s="6">
        <v>94</v>
      </c>
      <c r="H12" s="7">
        <v>95</v>
      </c>
      <c r="I12" s="7">
        <v>94</v>
      </c>
      <c r="J12" s="7">
        <v>101</v>
      </c>
      <c r="K12" s="6" t="s">
        <v>56</v>
      </c>
      <c r="L12" s="6" t="s">
        <v>56</v>
      </c>
      <c r="M12" s="6" t="s">
        <v>56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5">
      <c r="A14" s="26" t="s">
        <v>72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</sheetData>
  <sheetProtection algorithmName="SHA-512" hashValue="o6w9NofYWV2mA6ZJQQGfZ38y8GGEA2pnzR+yvzenvasIBquLrtxDcMthhQncjsoOYtzpbs79wjZLEcleaRlTdA==" saltValue="Yh0Qu8b7Qq4bfk7xoLVvKw==" spinCount="100000" sheet="1" objects="1" scenarios="1"/>
  <mergeCells count="4">
    <mergeCell ref="B5:D5"/>
    <mergeCell ref="E5:G5"/>
    <mergeCell ref="H5:J5"/>
    <mergeCell ref="K5:M5"/>
  </mergeCells>
  <dataValidations count="3">
    <dataValidation type="whole" allowBlank="1" showInputMessage="1" showErrorMessage="1" error="This supplier supplies a maximum of 150 units in whole numbers." sqref="D4:E4">
      <formula1>0</formula1>
      <formula2>150</formula2>
    </dataValidation>
    <dataValidation type="whole" allowBlank="1" showInputMessage="1" showErrorMessage="1" error="This supplier supplies a maximum of 100 units in whole numbers." sqref="D3:E3">
      <formula1>0</formula1>
      <formula2>100</formula2>
    </dataValidation>
    <dataValidation type="whole" allowBlank="1" showInputMessage="1" showErrorMessage="1" error="This supplier supplies a maximum of 60 units in whole numbers." sqref="B2:E2 B3:C4 B12:G12 B8:G9">
      <formula1>0</formula1>
      <formula2>60</formula2>
    </dataValidation>
  </dataValidations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99"/>
  <sheetViews>
    <sheetView topLeftCell="E1" zoomScale="145" zoomScaleNormal="145" zoomScalePageLayoutView="200" workbookViewId="0">
      <selection activeCell="M12" sqref="M12"/>
    </sheetView>
  </sheetViews>
  <sheetFormatPr defaultColWidth="8.81640625" defaultRowHeight="14.5" x14ac:dyDescent="0.35"/>
  <cols>
    <col min="1" max="1" width="19.1796875" style="3" bestFit="1" customWidth="1"/>
    <col min="2" max="13" width="10.7265625" style="3" customWidth="1"/>
    <col min="14" max="16384" width="8.81640625" style="3"/>
  </cols>
  <sheetData>
    <row r="1" spans="1:26" x14ac:dyDescent="0.35">
      <c r="A1" s="2"/>
      <c r="B1" s="2" t="s">
        <v>48</v>
      </c>
      <c r="C1" s="2" t="s">
        <v>49</v>
      </c>
      <c r="D1" s="2" t="s">
        <v>50</v>
      </c>
      <c r="E1" s="5" t="s">
        <v>51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35">
      <c r="A2" s="2" t="s">
        <v>47</v>
      </c>
      <c r="B2" s="2">
        <f>'Quarter 3'!B2</f>
        <v>44</v>
      </c>
      <c r="C2" s="2">
        <f>'Quarter 3'!C2</f>
        <v>0</v>
      </c>
      <c r="D2" s="2">
        <f>'Quarter 3'!D2</f>
        <v>0</v>
      </c>
      <c r="E2" s="4">
        <v>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35">
      <c r="A3" s="2" t="s">
        <v>36</v>
      </c>
      <c r="B3" s="2">
        <f>'Quarter 3'!B3</f>
        <v>54</v>
      </c>
      <c r="C3" s="2">
        <f>'Quarter 3'!C3</f>
        <v>34</v>
      </c>
      <c r="D3" s="2">
        <v>33</v>
      </c>
      <c r="E3" s="4">
        <v>100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35">
      <c r="A4" s="2" t="s">
        <v>42</v>
      </c>
      <c r="B4" s="2">
        <f>'Quarter 3'!B4</f>
        <v>66</v>
      </c>
      <c r="C4" s="2">
        <f>'Quarter 3'!C4</f>
        <v>54</v>
      </c>
      <c r="D4" s="2">
        <v>60</v>
      </c>
      <c r="E4" s="4">
        <v>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5">
      <c r="A5" s="6"/>
      <c r="B5" s="27"/>
      <c r="C5" s="27"/>
      <c r="D5" s="27"/>
      <c r="E5" s="27"/>
      <c r="F5" s="27"/>
      <c r="G5" s="27"/>
      <c r="H5" s="27"/>
      <c r="I5" s="27"/>
      <c r="J5" s="27"/>
      <c r="K5" s="27" t="s">
        <v>67</v>
      </c>
      <c r="L5" s="27"/>
      <c r="M5" s="2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5">
      <c r="A6" s="6"/>
      <c r="B6" s="6" t="s">
        <v>0</v>
      </c>
      <c r="C6" s="6" t="s">
        <v>1</v>
      </c>
      <c r="D6" s="6" t="s">
        <v>2</v>
      </c>
      <c r="E6" s="6" t="s">
        <v>3</v>
      </c>
      <c r="F6" s="6" t="s">
        <v>4</v>
      </c>
      <c r="G6" s="6" t="s">
        <v>5</v>
      </c>
      <c r="H6" s="6" t="s">
        <v>6</v>
      </c>
      <c r="I6" s="6" t="s">
        <v>7</v>
      </c>
      <c r="J6" s="6" t="s">
        <v>8</v>
      </c>
      <c r="K6" s="7" t="s">
        <v>9</v>
      </c>
      <c r="L6" s="7" t="s">
        <v>10</v>
      </c>
      <c r="M6" s="7" t="s">
        <v>11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35">
      <c r="A7" s="6" t="s">
        <v>52</v>
      </c>
      <c r="B7" s="6">
        <f>B2</f>
        <v>44</v>
      </c>
      <c r="C7" s="6">
        <f>B2+B3</f>
        <v>98</v>
      </c>
      <c r="D7" s="6">
        <f>B2+B3</f>
        <v>98</v>
      </c>
      <c r="E7" s="6">
        <f>B3+B4+C2</f>
        <v>120</v>
      </c>
      <c r="F7" s="6">
        <f>B4+C2+C3</f>
        <v>100</v>
      </c>
      <c r="G7" s="6">
        <f>B4+C2+C3</f>
        <v>100</v>
      </c>
      <c r="H7" s="6">
        <f>C3+C4+D2</f>
        <v>88</v>
      </c>
      <c r="I7" s="6">
        <f>C4+D2+D3</f>
        <v>87</v>
      </c>
      <c r="J7" s="6">
        <f>C4+D2+D3</f>
        <v>87</v>
      </c>
      <c r="K7" s="7">
        <f>K10+K11</f>
        <v>93</v>
      </c>
      <c r="L7" s="7">
        <f t="shared" ref="L7:M7" si="0">L10+L11</f>
        <v>160</v>
      </c>
      <c r="M7" s="7">
        <f t="shared" si="0"/>
        <v>160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35">
      <c r="A8" s="6" t="s">
        <v>53</v>
      </c>
      <c r="B8" s="6">
        <f>MIN(B12,B7)</f>
        <v>44</v>
      </c>
      <c r="C8" s="6">
        <f t="shared" ref="C8:M8" si="1">MIN(C12,C7+B9)</f>
        <v>97</v>
      </c>
      <c r="D8" s="6">
        <f t="shared" si="1"/>
        <v>99</v>
      </c>
      <c r="E8" s="6">
        <f t="shared" si="1"/>
        <v>104</v>
      </c>
      <c r="F8" s="6">
        <f t="shared" si="1"/>
        <v>108</v>
      </c>
      <c r="G8" s="6">
        <f t="shared" si="1"/>
        <v>94</v>
      </c>
      <c r="H8" s="6">
        <f t="shared" si="1"/>
        <v>95</v>
      </c>
      <c r="I8" s="6">
        <f t="shared" si="1"/>
        <v>94</v>
      </c>
      <c r="J8" s="6">
        <f t="shared" si="1"/>
        <v>87</v>
      </c>
      <c r="K8" s="7">
        <f t="shared" si="1"/>
        <v>93</v>
      </c>
      <c r="L8" s="7">
        <f t="shared" si="1"/>
        <v>118</v>
      </c>
      <c r="M8" s="7">
        <f t="shared" si="1"/>
        <v>170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5">
      <c r="A9" s="6" t="s">
        <v>54</v>
      </c>
      <c r="B9" s="6">
        <v>0</v>
      </c>
      <c r="C9" s="6">
        <f t="shared" ref="C9:M9" si="2">MAX(0,B9+C7-C12)</f>
        <v>1</v>
      </c>
      <c r="D9" s="6">
        <f t="shared" si="2"/>
        <v>0</v>
      </c>
      <c r="E9" s="6">
        <f t="shared" si="2"/>
        <v>16</v>
      </c>
      <c r="F9" s="6">
        <f t="shared" si="2"/>
        <v>8</v>
      </c>
      <c r="G9" s="6">
        <f t="shared" si="2"/>
        <v>14</v>
      </c>
      <c r="H9" s="6">
        <f t="shared" si="2"/>
        <v>7</v>
      </c>
      <c r="I9" s="6">
        <f t="shared" si="2"/>
        <v>0</v>
      </c>
      <c r="J9" s="6">
        <f t="shared" si="2"/>
        <v>0</v>
      </c>
      <c r="K9" s="7">
        <f t="shared" si="2"/>
        <v>0</v>
      </c>
      <c r="L9" s="7">
        <f t="shared" si="2"/>
        <v>42</v>
      </c>
      <c r="M9" s="7">
        <f t="shared" si="2"/>
        <v>32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5">
      <c r="A10" s="6" t="s">
        <v>66</v>
      </c>
      <c r="B10" s="6" t="s">
        <v>56</v>
      </c>
      <c r="C10" s="6" t="s">
        <v>56</v>
      </c>
      <c r="D10" s="6" t="s">
        <v>56</v>
      </c>
      <c r="E10" s="6" t="s">
        <v>56</v>
      </c>
      <c r="F10" s="6" t="s">
        <v>56</v>
      </c>
      <c r="G10" s="6" t="s">
        <v>56</v>
      </c>
      <c r="H10" s="6">
        <f>D2</f>
        <v>0</v>
      </c>
      <c r="I10" s="6">
        <f>D2+D3</f>
        <v>33</v>
      </c>
      <c r="J10" s="6">
        <f>D2+D3</f>
        <v>33</v>
      </c>
      <c r="K10" s="7">
        <f>D3+D4</f>
        <v>93</v>
      </c>
      <c r="L10" s="7">
        <f>D4</f>
        <v>60</v>
      </c>
      <c r="M10" s="7">
        <f>D4</f>
        <v>60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5">
      <c r="A11" s="6" t="s">
        <v>65</v>
      </c>
      <c r="B11" s="6" t="s">
        <v>56</v>
      </c>
      <c r="C11" s="6" t="s">
        <v>56</v>
      </c>
      <c r="D11" s="6" t="s">
        <v>56</v>
      </c>
      <c r="E11" s="6" t="s">
        <v>56</v>
      </c>
      <c r="F11" s="6" t="s">
        <v>56</v>
      </c>
      <c r="G11" s="6" t="s">
        <v>56</v>
      </c>
      <c r="H11" s="6" t="s">
        <v>56</v>
      </c>
      <c r="I11" s="6" t="s">
        <v>56</v>
      </c>
      <c r="J11" s="6" t="s">
        <v>56</v>
      </c>
      <c r="K11" s="7">
        <f>E2</f>
        <v>0</v>
      </c>
      <c r="L11" s="7">
        <f>E2+E3</f>
        <v>100</v>
      </c>
      <c r="M11" s="7">
        <f>E2+E3</f>
        <v>100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5">
      <c r="A12" s="6" t="s">
        <v>55</v>
      </c>
      <c r="B12" s="6">
        <v>94</v>
      </c>
      <c r="C12" s="6">
        <v>97</v>
      </c>
      <c r="D12" s="6">
        <v>102</v>
      </c>
      <c r="E12" s="6">
        <v>104</v>
      </c>
      <c r="F12" s="6">
        <v>108</v>
      </c>
      <c r="G12" s="6">
        <v>94</v>
      </c>
      <c r="H12" s="6">
        <v>95</v>
      </c>
      <c r="I12" s="6">
        <v>94</v>
      </c>
      <c r="J12" s="6">
        <v>101</v>
      </c>
      <c r="K12" s="7">
        <v>97</v>
      </c>
      <c r="L12" s="7">
        <v>118</v>
      </c>
      <c r="M12" s="7">
        <v>170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</sheetData>
  <sheetProtection algorithmName="SHA-512" hashValue="aAovUUg6q5B37rQZ+H+S+XHTRu76Q/EPAtObKsl4mhThgnzz+nmKqs++37Jxa4OhCE1ks+zxlgqwe6yEjOxFPA==" saltValue="/h8kVfxOeUgC46H7VOymHQ==" spinCount="100000" sheet="1" objects="1" scenarios="1"/>
  <mergeCells count="4">
    <mergeCell ref="B5:D5"/>
    <mergeCell ref="E5:G5"/>
    <mergeCell ref="H5:J5"/>
    <mergeCell ref="K5:M5"/>
  </mergeCells>
  <dataValidations xWindow="732" yWindow="314" count="3">
    <dataValidation type="whole" allowBlank="1" showInputMessage="1" showErrorMessage="1" error="This supplier supplies a maximum of 100 units in whole numbers." sqref="E3">
      <formula1>0</formula1>
      <formula2>100</formula2>
    </dataValidation>
    <dataValidation type="whole" allowBlank="1" showInputMessage="1" showErrorMessage="1" error="This supplier supplies a maximum of 60 units in whole numbers." sqref="B2:E2 B3:D4 B12:J12 B8:J9">
      <formula1>0</formula1>
      <formula2>60</formula2>
    </dataValidation>
    <dataValidation type="whole" allowBlank="1" showInputMessage="1" showErrorMessage="1" error="Carl and Sons will not be able to take the orders in the last quarter as the lead time is 3 months." prompt="Carl and Sons will not be able to take orders in the last quarter as the lead time is 3 months." sqref="E4">
      <formula1>0</formula1>
      <formula2>0</formula2>
    </dataValidation>
  </dataValidations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13"/>
  <sheetViews>
    <sheetView topLeftCell="G1" zoomScale="130" zoomScaleNormal="130" zoomScalePageLayoutView="200" workbookViewId="0">
      <selection activeCell="S11" sqref="S11"/>
    </sheetView>
  </sheetViews>
  <sheetFormatPr defaultColWidth="8.81640625" defaultRowHeight="14.5" x14ac:dyDescent="0.35"/>
  <cols>
    <col min="1" max="1" width="16" bestFit="1" customWidth="1"/>
    <col min="3" max="3" width="11.1796875" bestFit="1" customWidth="1"/>
    <col min="5" max="5" width="15.26953125" bestFit="1" customWidth="1"/>
  </cols>
  <sheetData>
    <row r="1" spans="1:17" x14ac:dyDescent="0.35">
      <c r="A1" s="9"/>
      <c r="B1" s="9"/>
      <c r="C1" s="9" t="s">
        <v>26</v>
      </c>
      <c r="E1" s="9"/>
      <c r="F1" s="9" t="str">
        <f>'Quarter 4'!B1</f>
        <v>Quarter 1</v>
      </c>
      <c r="G1" s="9" t="str">
        <f>'Quarter 4'!C1</f>
        <v>Quarter 2</v>
      </c>
      <c r="H1" s="9" t="str">
        <f>'Quarter 4'!D1</f>
        <v>Quarter 3</v>
      </c>
      <c r="I1" s="9" t="str">
        <f>'Quarter 4'!E1</f>
        <v>Quarter 4</v>
      </c>
      <c r="J1" s="9" t="s">
        <v>69</v>
      </c>
    </row>
    <row r="2" spans="1:17" x14ac:dyDescent="0.35">
      <c r="A2" s="9" t="s">
        <v>57</v>
      </c>
      <c r="B2" s="9">
        <f>SUM(F8:Q8)</f>
        <v>1235</v>
      </c>
      <c r="C2" s="9">
        <f>J2*Predictions!C17+J3*(Predictions!C17-'Supplier Details'!F9)+J4*(Predictions!C17-'Supplier Details'!F14)</f>
        <v>372705</v>
      </c>
      <c r="E2" s="9" t="str">
        <f>'Quarter 4'!A2</f>
        <v>Wayne Enterprises</v>
      </c>
      <c r="F2" s="9">
        <f>'Quarter 4'!B2</f>
        <v>44</v>
      </c>
      <c r="G2" s="9">
        <f>'Quarter 4'!C2</f>
        <v>0</v>
      </c>
      <c r="H2" s="9">
        <f>'Quarter 4'!D2</f>
        <v>0</v>
      </c>
      <c r="I2" s="9">
        <f>'Quarter 4'!E2</f>
        <v>0</v>
      </c>
      <c r="J2" s="9">
        <f>3*SUM(F2:I2)</f>
        <v>132</v>
      </c>
    </row>
    <row r="3" spans="1:17" x14ac:dyDescent="0.35">
      <c r="A3" s="9" t="s">
        <v>58</v>
      </c>
      <c r="B3" s="9">
        <f>SUM(F10:Q10)</f>
        <v>120</v>
      </c>
      <c r="C3" s="9">
        <f>B3*Predictions!C22</f>
        <v>3600</v>
      </c>
      <c r="E3" s="9" t="str">
        <f>'Quarter 4'!A3</f>
        <v>Chopra Company</v>
      </c>
      <c r="F3" s="9">
        <f>'Quarter 4'!B3</f>
        <v>54</v>
      </c>
      <c r="G3" s="9">
        <f>'Quarter 4'!C3</f>
        <v>34</v>
      </c>
      <c r="H3" s="9">
        <f>'Quarter 4'!D3</f>
        <v>33</v>
      </c>
      <c r="I3" s="9">
        <f>'Quarter 4'!E3</f>
        <v>100</v>
      </c>
      <c r="J3" s="9">
        <f>3*SUM(F3:H3)+2*I3</f>
        <v>563</v>
      </c>
    </row>
    <row r="4" spans="1:17" x14ac:dyDescent="0.35">
      <c r="A4" s="9"/>
      <c r="B4" s="9"/>
      <c r="C4" s="9"/>
      <c r="E4" s="9" t="str">
        <f>'Quarter 4'!A4</f>
        <v>Carl and Sons</v>
      </c>
      <c r="F4" s="9">
        <f>'Quarter 4'!B4</f>
        <v>66</v>
      </c>
      <c r="G4" s="9">
        <f>'Quarter 4'!C4</f>
        <v>54</v>
      </c>
      <c r="H4" s="9">
        <f>'Quarter 4'!D4</f>
        <v>60</v>
      </c>
      <c r="I4" s="9">
        <f>'Quarter 4'!E4</f>
        <v>0</v>
      </c>
      <c r="J4" s="9">
        <f>3*SUM(F4:H4)</f>
        <v>540</v>
      </c>
    </row>
    <row r="5" spans="1:17" x14ac:dyDescent="0.35">
      <c r="A5" s="9"/>
      <c r="B5" s="9"/>
      <c r="C5" s="9" t="s">
        <v>62</v>
      </c>
    </row>
    <row r="6" spans="1:17" x14ac:dyDescent="0.35">
      <c r="A6" s="9" t="s">
        <v>53</v>
      </c>
      <c r="B6" s="9">
        <f>SUM(F9:Q9)</f>
        <v>1203</v>
      </c>
      <c r="C6" s="9">
        <f>B6*Predictions!B17</f>
        <v>685710</v>
      </c>
    </row>
    <row r="7" spans="1:17" x14ac:dyDescent="0.35">
      <c r="A7" s="9" t="s">
        <v>59</v>
      </c>
      <c r="B7" s="9">
        <f>MAX(0,B2-B6)</f>
        <v>32</v>
      </c>
      <c r="C7" s="9">
        <f>B7*Predictions!B22</f>
        <v>8640</v>
      </c>
      <c r="E7" s="9"/>
      <c r="F7" s="9" t="str">
        <f>'Quarter 4'!B6</f>
        <v>Jan</v>
      </c>
      <c r="G7" s="9" t="str">
        <f>'Quarter 4'!C6</f>
        <v>Feb</v>
      </c>
      <c r="H7" s="9" t="str">
        <f>'Quarter 4'!D6</f>
        <v>Mar</v>
      </c>
      <c r="I7" s="9" t="str">
        <f>'Quarter 4'!E6</f>
        <v>Apr</v>
      </c>
      <c r="J7" s="9" t="str">
        <f>'Quarter 4'!F6</f>
        <v>May</v>
      </c>
      <c r="K7" s="9" t="str">
        <f>'Quarter 4'!G6</f>
        <v>Jun</v>
      </c>
      <c r="L7" s="9" t="str">
        <f>'Quarter 4'!H6</f>
        <v>Jul</v>
      </c>
      <c r="M7" s="9" t="str">
        <f>'Quarter 4'!I6</f>
        <v>Aug</v>
      </c>
      <c r="N7" s="9" t="str">
        <f>'Quarter 4'!J6</f>
        <v>Sep</v>
      </c>
      <c r="O7" s="9" t="str">
        <f>'Quarter 4'!K6</f>
        <v>Oct</v>
      </c>
      <c r="P7" s="9" t="str">
        <f>'Quarter 4'!L6</f>
        <v>Nov</v>
      </c>
      <c r="Q7" s="9" t="str">
        <f>'Quarter 4'!M6</f>
        <v>Dec</v>
      </c>
    </row>
    <row r="8" spans="1:17" ht="15" thickBot="1" x14ac:dyDescent="0.4">
      <c r="A8" s="10"/>
      <c r="B8" s="10"/>
      <c r="C8" s="10"/>
      <c r="E8" s="9" t="str">
        <f>'Quarter 4'!A7</f>
        <v>Production</v>
      </c>
      <c r="F8" s="9">
        <f>'Quarter 4'!B7</f>
        <v>44</v>
      </c>
      <c r="G8" s="9">
        <f>'Quarter 4'!C7</f>
        <v>98</v>
      </c>
      <c r="H8" s="9">
        <f>'Quarter 4'!D7</f>
        <v>98</v>
      </c>
      <c r="I8" s="9">
        <f>'Quarter 4'!E7</f>
        <v>120</v>
      </c>
      <c r="J8" s="9">
        <f>'Quarter 4'!F7</f>
        <v>100</v>
      </c>
      <c r="K8" s="9">
        <f>'Quarter 4'!G7</f>
        <v>100</v>
      </c>
      <c r="L8" s="9">
        <f>'Quarter 4'!H7</f>
        <v>88</v>
      </c>
      <c r="M8" s="9">
        <f>'Quarter 4'!I7</f>
        <v>87</v>
      </c>
      <c r="N8" s="9">
        <f>'Quarter 4'!J7</f>
        <v>87</v>
      </c>
      <c r="O8" s="9">
        <f>'Quarter 4'!K7</f>
        <v>93</v>
      </c>
      <c r="P8" s="9">
        <f>'Quarter 4'!L7</f>
        <v>160</v>
      </c>
      <c r="Q8" s="9">
        <f>'Quarter 4'!M7</f>
        <v>160</v>
      </c>
    </row>
    <row r="9" spans="1:17" x14ac:dyDescent="0.35">
      <c r="A9" s="11" t="s">
        <v>60</v>
      </c>
      <c r="B9" s="12">
        <f>C6+C7</f>
        <v>694350</v>
      </c>
      <c r="C9" s="10"/>
      <c r="E9" s="9" t="str">
        <f>'Quarter 4'!A8</f>
        <v>Sales</v>
      </c>
      <c r="F9" s="9">
        <f>'Quarter 4'!B8</f>
        <v>44</v>
      </c>
      <c r="G9" s="9">
        <f>'Quarter 4'!C8</f>
        <v>97</v>
      </c>
      <c r="H9" s="9">
        <f>'Quarter 4'!D8</f>
        <v>99</v>
      </c>
      <c r="I9" s="9">
        <f>'Quarter 4'!E8</f>
        <v>104</v>
      </c>
      <c r="J9" s="9">
        <f>'Quarter 4'!F8</f>
        <v>108</v>
      </c>
      <c r="K9" s="9">
        <f>'Quarter 4'!G8</f>
        <v>94</v>
      </c>
      <c r="L9" s="9">
        <f>'Quarter 4'!H8</f>
        <v>95</v>
      </c>
      <c r="M9" s="9">
        <f>'Quarter 4'!I8</f>
        <v>94</v>
      </c>
      <c r="N9" s="9">
        <f>'Quarter 4'!J8</f>
        <v>87</v>
      </c>
      <c r="O9" s="9">
        <f>'Quarter 4'!K8</f>
        <v>93</v>
      </c>
      <c r="P9" s="9">
        <f>'Quarter 4'!L8</f>
        <v>118</v>
      </c>
      <c r="Q9" s="9">
        <f>'Quarter 4'!M8</f>
        <v>170</v>
      </c>
    </row>
    <row r="10" spans="1:17" x14ac:dyDescent="0.35">
      <c r="A10" s="13" t="s">
        <v>26</v>
      </c>
      <c r="B10" s="14">
        <f>C2+C3</f>
        <v>376305</v>
      </c>
      <c r="C10" s="10"/>
      <c r="E10" s="9" t="str">
        <f>'Quarter 4'!A9</f>
        <v>Inventory</v>
      </c>
      <c r="F10" s="9">
        <f>'Quarter 4'!B9</f>
        <v>0</v>
      </c>
      <c r="G10" s="9">
        <f>'Quarter 4'!C9</f>
        <v>1</v>
      </c>
      <c r="H10" s="9">
        <f>'Quarter 4'!D9</f>
        <v>0</v>
      </c>
      <c r="I10" s="9">
        <f>'Quarter 4'!E9</f>
        <v>16</v>
      </c>
      <c r="J10" s="9">
        <f>'Quarter 4'!F9</f>
        <v>8</v>
      </c>
      <c r="K10" s="9">
        <f>'Quarter 4'!G9</f>
        <v>14</v>
      </c>
      <c r="L10" s="9">
        <f>'Quarter 4'!H9</f>
        <v>7</v>
      </c>
      <c r="M10" s="9">
        <f>'Quarter 4'!I9</f>
        <v>0</v>
      </c>
      <c r="N10" s="9">
        <f>'Quarter 4'!J9</f>
        <v>0</v>
      </c>
      <c r="O10" s="9">
        <f>'Quarter 4'!K9</f>
        <v>0</v>
      </c>
      <c r="P10" s="9">
        <f>'Quarter 4'!L9</f>
        <v>42</v>
      </c>
      <c r="Q10" s="9">
        <f>'Quarter 4'!M9</f>
        <v>32</v>
      </c>
    </row>
    <row r="11" spans="1:17" x14ac:dyDescent="0.35">
      <c r="A11" s="13" t="s">
        <v>29</v>
      </c>
      <c r="B11" s="14">
        <f>12*Predictions!B24</f>
        <v>96000</v>
      </c>
      <c r="C11" s="10"/>
      <c r="E11" s="28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30"/>
    </row>
    <row r="12" spans="1:17" x14ac:dyDescent="0.35">
      <c r="A12" s="13" t="s">
        <v>27</v>
      </c>
      <c r="B12" s="14">
        <f>B9-B10-B11</f>
        <v>222045</v>
      </c>
      <c r="C12" s="10"/>
      <c r="E12" s="31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3"/>
    </row>
    <row r="13" spans="1:17" ht="15" thickBot="1" x14ac:dyDescent="0.4">
      <c r="A13" s="15" t="s">
        <v>61</v>
      </c>
      <c r="B13" s="16">
        <f>IF(B9=0,0,B12/B9)</f>
        <v>0.31978829120760421</v>
      </c>
      <c r="C13" s="10"/>
      <c r="E13" s="9" t="str">
        <f>'Quarter 4'!A12</f>
        <v>Actual Demand</v>
      </c>
      <c r="F13" s="9">
        <f>'Quarter 4'!B12</f>
        <v>94</v>
      </c>
      <c r="G13" s="9">
        <f>'Quarter 4'!C12</f>
        <v>97</v>
      </c>
      <c r="H13" s="9">
        <f>'Quarter 4'!D12</f>
        <v>102</v>
      </c>
      <c r="I13" s="9">
        <f>'Quarter 4'!E12</f>
        <v>104</v>
      </c>
      <c r="J13" s="9">
        <f>'Quarter 4'!F12</f>
        <v>108</v>
      </c>
      <c r="K13" s="9">
        <f>'Quarter 4'!G12</f>
        <v>94</v>
      </c>
      <c r="L13" s="9">
        <f>'Quarter 4'!H12</f>
        <v>95</v>
      </c>
      <c r="M13" s="9">
        <f>'Quarter 4'!I12</f>
        <v>94</v>
      </c>
      <c r="N13" s="9">
        <f>'Quarter 4'!J12</f>
        <v>101</v>
      </c>
      <c r="O13" s="9">
        <f>'Quarter 4'!K12</f>
        <v>97</v>
      </c>
      <c r="P13" s="9">
        <f>'Quarter 4'!L12</f>
        <v>118</v>
      </c>
      <c r="Q13" s="9">
        <f>'Quarter 4'!M12</f>
        <v>170</v>
      </c>
    </row>
  </sheetData>
  <mergeCells count="1">
    <mergeCell ref="E11:Q12"/>
  </mergeCell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Predictions</vt:lpstr>
      <vt:lpstr>Past Sales Data</vt:lpstr>
      <vt:lpstr>Supplier Details</vt:lpstr>
      <vt:lpstr>Quarter 1</vt:lpstr>
      <vt:lpstr>Quarter 2</vt:lpstr>
      <vt:lpstr>Quarter 3</vt:lpstr>
      <vt:lpstr>Quarter 4</vt:lpstr>
      <vt:lpstr>Final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2021-02-07T09:39:35Z</dcterms:modified>
</cp:coreProperties>
</file>